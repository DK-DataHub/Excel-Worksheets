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de6\Documents\"/>
    </mc:Choice>
  </mc:AlternateContent>
  <xr:revisionPtr revIDLastSave="0" documentId="13_ncr:1_{CC13E590-4081-42D1-AA8E-9E1BD41DCD08}" xr6:coauthVersionLast="47" xr6:coauthVersionMax="47" xr10:uidLastSave="{00000000-0000-0000-0000-000000000000}"/>
  <bookViews>
    <workbookView xWindow="-120" yWindow="-120" windowWidth="29040" windowHeight="15840" activeTab="1" xr2:uid="{F2D96730-CB1F-418F-97E3-314B80EF492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G12" i="2"/>
  <c r="L10" i="2" a="1"/>
  <c r="L10" i="2" s="1"/>
  <c r="J17" i="2"/>
  <c r="J16" i="2"/>
  <c r="J15" i="2"/>
  <c r="I16" i="2"/>
  <c r="I15" i="2"/>
  <c r="F12" i="2"/>
  <c r="F13" i="2"/>
  <c r="B14" i="2" a="1"/>
  <c r="B14" i="2" s="1"/>
  <c r="A15" i="2"/>
  <c r="A14" i="2"/>
  <c r="E7" i="2"/>
  <c r="E5" i="2"/>
  <c r="E2" i="2"/>
  <c r="H22" i="1"/>
  <c r="H14" i="1"/>
  <c r="J17" i="1"/>
  <c r="H20" i="1"/>
  <c r="H19" i="1"/>
  <c r="H18" i="1"/>
  <c r="I16" i="1"/>
  <c r="H15" i="1"/>
  <c r="E17" i="1"/>
  <c r="F19" i="1"/>
  <c r="F18" i="1"/>
  <c r="E19" i="1"/>
  <c r="C19" i="1"/>
  <c r="C17" i="1"/>
  <c r="C16" i="1"/>
  <c r="C14" i="1"/>
  <c r="H11" i="1" a="1"/>
  <c r="H11" i="1" s="1"/>
  <c r="E3" i="1"/>
  <c r="E4" i="1"/>
  <c r="E5" i="1"/>
  <c r="E6" i="1"/>
  <c r="E7" i="1"/>
  <c r="E8" i="1"/>
  <c r="E9" i="1"/>
  <c r="E10" i="1"/>
  <c r="E11" i="1"/>
  <c r="D3" i="1"/>
  <c r="D4" i="1"/>
  <c r="D5" i="1"/>
  <c r="D6" i="1"/>
  <c r="D7" i="1"/>
  <c r="D8" i="1"/>
  <c r="D9" i="1"/>
  <c r="D10" i="1"/>
  <c r="D11" i="1"/>
  <c r="D2" i="1"/>
  <c r="H3" i="1" a="1"/>
  <c r="H3" i="1" s="1"/>
  <c r="H4" i="1" a="1"/>
  <c r="H4" i="1"/>
  <c r="H5" i="1" a="1"/>
  <c r="H5" i="1" s="1"/>
  <c r="H6" i="1" a="1"/>
  <c r="H6" i="1"/>
  <c r="H7" i="1" a="1"/>
  <c r="H7" i="1" s="1"/>
  <c r="H9" i="1" a="1"/>
  <c r="H9" i="1" s="1"/>
  <c r="H10" i="1" a="1"/>
  <c r="H10" i="1"/>
  <c r="H2" i="1" a="1"/>
  <c r="H2" i="1" s="1"/>
  <c r="G6" i="1"/>
  <c r="G10" i="1"/>
  <c r="F2" i="1"/>
  <c r="F3" i="1"/>
  <c r="F4" i="1"/>
  <c r="F5" i="1"/>
  <c r="F6" i="1"/>
  <c r="F7" i="1"/>
  <c r="F8" i="1"/>
  <c r="G3" i="1" s="1"/>
  <c r="F9" i="1"/>
  <c r="F10" i="1"/>
  <c r="F11" i="1"/>
  <c r="E2" i="1"/>
  <c r="H12" i="2"/>
  <c r="G9" i="1" l="1"/>
  <c r="G5" i="1"/>
  <c r="H8" i="1" a="1"/>
  <c r="H8" i="1" s="1"/>
  <c r="G2" i="1"/>
  <c r="G8" i="1"/>
  <c r="G4" i="1"/>
  <c r="G11" i="1"/>
  <c r="G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<sst xmlns="http://schemas.openxmlformats.org/spreadsheetml/2006/main" count="31" uniqueCount="18">
  <si>
    <t>Student Name</t>
  </si>
  <si>
    <t>Maths</t>
  </si>
  <si>
    <t>Geography</t>
  </si>
  <si>
    <t>Jonas</t>
  </si>
  <si>
    <t>Harry</t>
  </si>
  <si>
    <t>Nick</t>
  </si>
  <si>
    <t>Sara</t>
  </si>
  <si>
    <t>John</t>
  </si>
  <si>
    <t>Leon</t>
  </si>
  <si>
    <t>Tom</t>
  </si>
  <si>
    <t>Hardy</t>
  </si>
  <si>
    <t>Mark</t>
  </si>
  <si>
    <t>Chris</t>
  </si>
  <si>
    <t>Result</t>
  </si>
  <si>
    <t>Grade</t>
  </si>
  <si>
    <t>Total</t>
  </si>
  <si>
    <t>Class Result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</si>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</sst>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1"/>
    <xf numFmtId="22" fontId="0" fillId="0" borderId="0" xfId="0" applyNumberFormat="1"/>
    <xf numFmtId="0" fontId="2" fillId="0" borderId="0" xfId="2"/>
    <xf numFmtId="0" fontId="0" fillId="3" borderId="0" xfId="0" applyFill="1"/>
  </cellXfs>
  <cellStyles count="3">
    <cellStyle name="Accent5" xfId="1" builtinId="45"/>
    <cellStyle name="Hyperlink" xfId="2" builtinId="8"/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148F5E-DB5A-4ACB-BE73-69EFD9072F2B}">
  <we:reference id="wa200007951" version="2.0.1.0" store="en-US" storeType="OMEX"/>
  <we:alternateReferences>
    <we:reference id="wa200007951" version="2.0.1.0" store="wa200007951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0611-C64E-4D27-B44F-C7C4E3580C3B}">
  <dimension ref="A1:J22"/>
  <sheetViews>
    <sheetView workbookViewId="0">
      <selection sqref="A1:C11"/>
    </sheetView>
  </sheetViews>
  <sheetFormatPr defaultRowHeight="15" x14ac:dyDescent="0.25"/>
  <cols>
    <col min="5" max="5" width="15.140625" bestFit="1" customWidth="1"/>
    <col min="7" max="7" width="12.5703125" bestFit="1" customWidth="1"/>
    <col min="8" max="8" width="15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9" x14ac:dyDescent="0.25">
      <c r="A2" t="s">
        <v>3</v>
      </c>
      <c r="B2">
        <v>65</v>
      </c>
      <c r="C2">
        <v>87</v>
      </c>
      <c r="D2" t="str">
        <f>IF(OR(AND(B2&gt;=51,C2&gt;=51),AND(B2&gt;50,C2&gt;65)),"Passed","Failed")</f>
        <v>Passed</v>
      </c>
      <c r="E2" t="str">
        <f>IF(SUM(B2:C2)&gt;130,"Outstanding",IF(SUM(B2:C2)&gt;120,"Excellent",IF(SUM(B2:C2)&gt;95,"Not Satisfactory")))</f>
        <v>Outstanding</v>
      </c>
      <c r="F2">
        <f>SUM(B2:C2)</f>
        <v>152</v>
      </c>
      <c r="G2" t="str">
        <f>IF(F2=MAX($F$2:$F$11),"Highest Mark",IF(F2=MIN($F$2:$F$11),"Lowest Mark",""))</f>
        <v>Highest Mark</v>
      </c>
      <c r="H2" cm="1">
        <f t="array" ref="H2">_xlfn.IFS(AND(F2&gt;=145,F2&lt;=160)=TRUE,9,AND(F2&lt;145,F2&gt;130)=TRUE,8,AND(F2&lt;128,F2&gt;119)=TRUE,7,TRUE,0)</f>
        <v>9</v>
      </c>
    </row>
    <row r="3" spans="1:9" x14ac:dyDescent="0.25">
      <c r="A3" t="s">
        <v>4</v>
      </c>
      <c r="B3">
        <v>56</v>
      </c>
      <c r="C3">
        <v>67</v>
      </c>
      <c r="D3" t="str">
        <f t="shared" ref="D3:D11" si="0">IF(OR(AND(B3&gt;=51,C3&gt;=51),AND(B3&gt;50,C3&gt;65)),"Passed","Failed")</f>
        <v>Passed</v>
      </c>
      <c r="E3" t="str">
        <f t="shared" ref="E3:E11" si="1">IF(SUM(B3:C3)&gt;130,"Outstanding",IF(SUM(B3:C3)&gt;120,"Excellent",IF(SUM(B3:C3)&gt;95,"Not Satisfactory")))</f>
        <v>Excellent</v>
      </c>
      <c r="F3">
        <f t="shared" ref="F3:F11" si="2">SUM(B3:C3)</f>
        <v>123</v>
      </c>
      <c r="G3" t="str">
        <f t="shared" ref="G3:G11" si="3">IF(F3=MAX($F$2:$F$11),"Highest Mark",IF(F3=MIN($F$2:$F$11),"Lowest Mark",""))</f>
        <v/>
      </c>
      <c r="H3" cm="1">
        <f t="array" ref="H3">_xlfn.IFS(AND(F3&gt;=145,F3&lt;=160)=TRUE,9,AND(F3&lt;145,F3&gt;130)=TRUE,8,AND(F3&lt;128,F3&gt;119)=TRUE,7,TRUE,0)</f>
        <v>7</v>
      </c>
    </row>
    <row r="4" spans="1:9" x14ac:dyDescent="0.25">
      <c r="A4" t="s">
        <v>5</v>
      </c>
      <c r="B4">
        <v>46</v>
      </c>
      <c r="C4">
        <v>55</v>
      </c>
      <c r="D4" t="str">
        <f t="shared" si="0"/>
        <v>Failed</v>
      </c>
      <c r="E4" t="str">
        <f t="shared" si="1"/>
        <v>Not Satisfactory</v>
      </c>
      <c r="F4">
        <f t="shared" si="2"/>
        <v>101</v>
      </c>
      <c r="G4" t="str">
        <f t="shared" si="3"/>
        <v/>
      </c>
      <c r="H4" cm="1">
        <f t="array" ref="H4">_xlfn.IFS(AND(F4&gt;=145,F4&lt;=160)=TRUE,9,AND(F4&lt;145,F4&gt;130)=TRUE,8,AND(F4&lt;128,F4&gt;119)=TRUE,7,TRUE,0)</f>
        <v>0</v>
      </c>
    </row>
    <row r="5" spans="1:9" x14ac:dyDescent="0.25">
      <c r="A5" t="s">
        <v>6</v>
      </c>
      <c r="B5">
        <v>36</v>
      </c>
      <c r="C5">
        <v>69</v>
      </c>
      <c r="D5" t="str">
        <f t="shared" si="0"/>
        <v>Failed</v>
      </c>
      <c r="E5" t="str">
        <f t="shared" si="1"/>
        <v>Not Satisfactory</v>
      </c>
      <c r="F5">
        <f t="shared" si="2"/>
        <v>105</v>
      </c>
      <c r="G5" t="str">
        <f t="shared" si="3"/>
        <v/>
      </c>
      <c r="H5" cm="1">
        <f t="array" ref="H5">_xlfn.IFS(AND(F5&gt;=145,F5&lt;=160)=TRUE,9,AND(F5&lt;145,F5&gt;130)=TRUE,8,AND(F5&lt;128,F5&gt;119)=TRUE,7,TRUE,0)</f>
        <v>0</v>
      </c>
    </row>
    <row r="6" spans="1:9" x14ac:dyDescent="0.25">
      <c r="A6" t="s">
        <v>7</v>
      </c>
      <c r="B6">
        <v>78</v>
      </c>
      <c r="C6">
        <v>40</v>
      </c>
      <c r="D6" t="str">
        <f t="shared" si="0"/>
        <v>Failed</v>
      </c>
      <c r="E6" t="str">
        <f t="shared" si="1"/>
        <v>Not Satisfactory</v>
      </c>
      <c r="F6">
        <f t="shared" si="2"/>
        <v>118</v>
      </c>
      <c r="G6" t="str">
        <f t="shared" si="3"/>
        <v/>
      </c>
      <c r="H6" cm="1">
        <f t="array" ref="H6">_xlfn.IFS(AND(F6&gt;=145,F6&lt;=160)=TRUE,9,AND(F6&lt;145,F6&gt;130)=TRUE,8,AND(F6&lt;128,F6&gt;119)=TRUE,7,TRUE,0)</f>
        <v>0</v>
      </c>
    </row>
    <row r="7" spans="1:9" x14ac:dyDescent="0.25">
      <c r="A7" t="s">
        <v>8</v>
      </c>
      <c r="B7">
        <v>66</v>
      </c>
      <c r="C7">
        <v>43</v>
      </c>
      <c r="D7" t="str">
        <f t="shared" si="0"/>
        <v>Failed</v>
      </c>
      <c r="E7" t="str">
        <f t="shared" si="1"/>
        <v>Not Satisfactory</v>
      </c>
      <c r="F7">
        <f t="shared" si="2"/>
        <v>109</v>
      </c>
      <c r="G7" t="str">
        <f t="shared" si="3"/>
        <v/>
      </c>
      <c r="H7" cm="1">
        <f t="array" ref="H7">_xlfn.IFS(AND(F7&gt;=145,F7&lt;=160)=TRUE,9,AND(F7&lt;145,F7&gt;130)=TRUE,8,AND(F7&lt;128,F7&gt;119)=TRUE,7,TRUE,0)</f>
        <v>0</v>
      </c>
    </row>
    <row r="8" spans="1:9" x14ac:dyDescent="0.25">
      <c r="A8" t="s">
        <v>9</v>
      </c>
      <c r="B8">
        <v>90</v>
      </c>
      <c r="C8">
        <v>51</v>
      </c>
      <c r="D8" t="str">
        <f t="shared" si="0"/>
        <v>Passed</v>
      </c>
      <c r="E8" t="str">
        <f t="shared" si="1"/>
        <v>Outstanding</v>
      </c>
      <c r="F8">
        <f t="shared" si="2"/>
        <v>141</v>
      </c>
      <c r="G8" t="str">
        <f t="shared" si="3"/>
        <v/>
      </c>
      <c r="H8" cm="1">
        <f t="array" ref="H8">_xlfn.IFS(AND(F8&gt;=145,F8&lt;=160)=TRUE,9,AND(F8&lt;145,F8&gt;130)=TRUE,8,AND(F8&lt;128,F8&gt;119)=TRUE,7,TRUE,0)</f>
        <v>8</v>
      </c>
    </row>
    <row r="9" spans="1:9" x14ac:dyDescent="0.25">
      <c r="A9" t="s">
        <v>10</v>
      </c>
      <c r="B9">
        <v>70</v>
      </c>
      <c r="C9">
        <v>56</v>
      </c>
      <c r="D9" t="str">
        <f t="shared" si="0"/>
        <v>Passed</v>
      </c>
      <c r="E9" t="str">
        <f t="shared" si="1"/>
        <v>Excellent</v>
      </c>
      <c r="F9">
        <f t="shared" si="2"/>
        <v>126</v>
      </c>
      <c r="G9" t="str">
        <f t="shared" si="3"/>
        <v/>
      </c>
      <c r="H9" cm="1">
        <f t="array" ref="H9">_xlfn.IFS(AND(F9&gt;=145,F9&lt;=160)=TRUE,9,AND(F9&lt;145,F9&gt;130)=TRUE,8,AND(F9&lt;128,F9&gt;119)=TRUE,7,TRUE,0)</f>
        <v>7</v>
      </c>
    </row>
    <row r="10" spans="1:9" x14ac:dyDescent="0.25">
      <c r="A10" t="s">
        <v>11</v>
      </c>
      <c r="B10">
        <v>74</v>
      </c>
      <c r="C10">
        <v>43</v>
      </c>
      <c r="D10" t="str">
        <f t="shared" si="0"/>
        <v>Failed</v>
      </c>
      <c r="E10" t="str">
        <f t="shared" si="1"/>
        <v>Not Satisfactory</v>
      </c>
      <c r="F10">
        <f t="shared" si="2"/>
        <v>117</v>
      </c>
      <c r="G10" t="str">
        <f t="shared" si="3"/>
        <v/>
      </c>
      <c r="H10" cm="1">
        <f t="array" ref="H10">_xlfn.IFS(AND(F10&gt;=145,F10&lt;=160)=TRUE,9,AND(F10&lt;145,F10&gt;130)=TRUE,8,AND(F10&lt;128,F10&gt;119)=TRUE,7,TRUE,0)</f>
        <v>0</v>
      </c>
    </row>
    <row r="11" spans="1:9" x14ac:dyDescent="0.25">
      <c r="A11" t="s">
        <v>12</v>
      </c>
      <c r="B11">
        <v>50</v>
      </c>
      <c r="C11">
        <v>50</v>
      </c>
      <c r="D11" t="str">
        <f t="shared" si="0"/>
        <v>Failed</v>
      </c>
      <c r="E11" t="str">
        <f t="shared" si="1"/>
        <v>Not Satisfactory</v>
      </c>
      <c r="F11">
        <f t="shared" si="2"/>
        <v>100</v>
      </c>
      <c r="G11" t="str">
        <f t="shared" si="3"/>
        <v>Lowest Mark</v>
      </c>
      <c r="H11" cm="1">
        <f t="array" ref="H11">_xlfn.IFS(AND(F11&gt;=145,F11&lt;=160)=TRUE,9,AND(F11&lt;145,F11&gt;130)=TRUE,8,AND(F11&lt;128,F11&gt;119)=TRUE,7,TRUE,0)</f>
        <v>0</v>
      </c>
    </row>
    <row r="14" spans="1:9" x14ac:dyDescent="0.25">
      <c r="C14" t="str">
        <f>IF(NOT(B5&gt;B6),"A","B")</f>
        <v>A</v>
      </c>
      <c r="H14" s="2">
        <f ca="1">NOW()</f>
        <v>45953.422816319442</v>
      </c>
    </row>
    <row r="15" spans="1:9" x14ac:dyDescent="0.25">
      <c r="H15" t="str">
        <f>MID(E10,5,16)</f>
        <v>Satisfactory</v>
      </c>
    </row>
    <row r="16" spans="1:9" x14ac:dyDescent="0.25">
      <c r="C16">
        <f>SUMIF(E2:E11,"Outstanding",F2:F11)</f>
        <v>293</v>
      </c>
      <c r="I16" t="str">
        <f>UPPER(G1)</f>
        <v>CLASS RESULT</v>
      </c>
    </row>
    <row r="17" spans="3:10" x14ac:dyDescent="0.25">
      <c r="C17" t="str">
        <f>IFERROR(FIND("Z",E2),"-")</f>
        <v>-</v>
      </c>
      <c r="E17" t="str">
        <f>_xlfn.IFNA(VLOOKUP("Leo",A2:B11,2,FALSE),"Not found")</f>
        <v>Not found</v>
      </c>
      <c r="J17" t="str">
        <f>TRIM(E6)</f>
        <v>Not Satisfactory</v>
      </c>
    </row>
    <row r="18" spans="3:10" x14ac:dyDescent="0.25">
      <c r="F18">
        <f>_xlfn.MINIFS(F2:F11, D2:D11, "Failed")</f>
        <v>100</v>
      </c>
      <c r="H18" t="str">
        <f>_xlfn.CONCAT(A2," is ",E2)</f>
        <v>Jonas is Outstanding</v>
      </c>
    </row>
    <row r="19" spans="3:10" x14ac:dyDescent="0.25">
      <c r="C19">
        <f>COUNTIF(E2:E11,"Not Satisfactory")</f>
        <v>6</v>
      </c>
      <c r="E19">
        <f>COUNTIFS(D2:D11, "Passed", F2:F11, "&gt;140")</f>
        <v>2</v>
      </c>
      <c r="F19">
        <f>_xlfn.MAXIFS(F2:F11, D2:D11, "Failed")</f>
        <v>118</v>
      </c>
      <c r="H19" t="str">
        <f>PROPER(I16)</f>
        <v>Class Result</v>
      </c>
    </row>
    <row r="20" spans="3:10" x14ac:dyDescent="0.25">
      <c r="H20">
        <f>SEARCH("a",E4)</f>
        <v>6</v>
      </c>
    </row>
    <row r="22" spans="3:10" x14ac:dyDescent="0.25">
      <c r="H22">
        <f>LOOKUP("Nick",A2:A11,B2:B11)</f>
        <v>50</v>
      </c>
    </row>
  </sheetData>
  <conditionalFormatting sqref="D2:D11">
    <cfRule type="expression" dxfId="2" priority="2">
      <formula>D2="Passed"</formula>
    </cfRule>
    <cfRule type="expression" dxfId="1" priority="3">
      <formula>D5="Passed"</formula>
    </cfRule>
  </conditionalFormatting>
  <conditionalFormatting sqref="D4:D11">
    <cfRule type="expression" dxfId="0" priority="1">
      <formula>D4="Failed"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B9FB-BFC6-437D-8F65-126526D2232C}">
  <dimension ref="A1:V17"/>
  <sheetViews>
    <sheetView tabSelected="1" workbookViewId="0">
      <selection activeCell="L10" sqref="L10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</row>
    <row r="2" spans="1:22" x14ac:dyDescent="0.25">
      <c r="A2" t="s">
        <v>3</v>
      </c>
      <c r="B2">
        <v>65</v>
      </c>
      <c r="C2">
        <v>87</v>
      </c>
      <c r="E2">
        <f>LOOKUP("Leon",A2:A11,C2:C11)</f>
        <v>56</v>
      </c>
    </row>
    <row r="3" spans="1:22" x14ac:dyDescent="0.25">
      <c r="A3" t="s">
        <v>4</v>
      </c>
      <c r="B3">
        <v>56</v>
      </c>
      <c r="C3">
        <v>67</v>
      </c>
    </row>
    <row r="4" spans="1:22" x14ac:dyDescent="0.25">
      <c r="A4" t="s">
        <v>5</v>
      </c>
      <c r="B4">
        <v>46</v>
      </c>
      <c r="C4">
        <v>55</v>
      </c>
    </row>
    <row r="5" spans="1:22" x14ac:dyDescent="0.25">
      <c r="A5" t="s">
        <v>6</v>
      </c>
      <c r="B5">
        <v>36</v>
      </c>
      <c r="C5">
        <v>69</v>
      </c>
      <c r="E5">
        <f>VLOOKUP("Tom",A1:C11,2,FALSE)</f>
        <v>90</v>
      </c>
    </row>
    <row r="6" spans="1:22" x14ac:dyDescent="0.25">
      <c r="A6" t="s">
        <v>7</v>
      </c>
      <c r="B6">
        <v>78</v>
      </c>
      <c r="C6">
        <v>40</v>
      </c>
      <c r="E6">
        <f>HLOOKUP("Sara",L10:V12,3,FALSE)</f>
        <v>69</v>
      </c>
    </row>
    <row r="7" spans="1:22" x14ac:dyDescent="0.25">
      <c r="A7" t="s">
        <v>8</v>
      </c>
      <c r="B7">
        <v>66</v>
      </c>
      <c r="C7">
        <v>43</v>
      </c>
      <c r="E7">
        <f>_xlfn.XLOOKUP("Hardy",A1:A11, C1:C11, "not found")</f>
        <v>56</v>
      </c>
    </row>
    <row r="8" spans="1:22" x14ac:dyDescent="0.25">
      <c r="A8" t="s">
        <v>9</v>
      </c>
      <c r="B8">
        <v>90</v>
      </c>
      <c r="C8">
        <v>51</v>
      </c>
    </row>
    <row r="9" spans="1:22" x14ac:dyDescent="0.25">
      <c r="A9" t="s">
        <v>10</v>
      </c>
      <c r="B9">
        <v>70</v>
      </c>
      <c r="C9">
        <v>56</v>
      </c>
    </row>
    <row r="10" spans="1:22" x14ac:dyDescent="0.25">
      <c r="A10" t="s">
        <v>11</v>
      </c>
      <c r="B10">
        <v>74</v>
      </c>
      <c r="C10">
        <v>43</v>
      </c>
      <c r="L10" s="4" t="str" cm="1">
        <f t="array" ref="L10:V12">TRANSPOSE(A1:C11)</f>
        <v>Student Name</v>
      </c>
      <c r="M10" s="4" t="str">
        <v>Jonas</v>
      </c>
      <c r="N10" s="4" t="str">
        <v>Harry</v>
      </c>
      <c r="O10" s="4" t="str">
        <v>Nick</v>
      </c>
      <c r="P10" s="4" t="str">
        <v>Sara</v>
      </c>
      <c r="Q10" s="4" t="str">
        <v>John</v>
      </c>
      <c r="R10" s="4" t="str">
        <v>Leon</v>
      </c>
      <c r="S10" s="4" t="str">
        <v>Tom</v>
      </c>
      <c r="T10" s="4" t="str">
        <v>Hardy</v>
      </c>
      <c r="U10" s="4" t="str">
        <v>Mark</v>
      </c>
      <c r="V10" s="4" t="str">
        <v>Chris</v>
      </c>
    </row>
    <row r="11" spans="1:22" x14ac:dyDescent="0.25">
      <c r="A11" t="s">
        <v>12</v>
      </c>
      <c r="B11">
        <v>50</v>
      </c>
      <c r="C11">
        <v>50</v>
      </c>
      <c r="L11" s="4" t="str">
        <v>Maths</v>
      </c>
      <c r="M11" s="4">
        <v>65</v>
      </c>
      <c r="N11" s="4">
        <v>56</v>
      </c>
      <c r="O11" s="4">
        <v>46</v>
      </c>
      <c r="P11" s="4">
        <v>36</v>
      </c>
      <c r="Q11" s="4">
        <v>78</v>
      </c>
      <c r="R11" s="4">
        <v>66</v>
      </c>
      <c r="S11" s="4">
        <v>90</v>
      </c>
      <c r="T11" s="4">
        <v>70</v>
      </c>
      <c r="U11" s="4">
        <v>74</v>
      </c>
      <c r="V11" s="4">
        <v>50</v>
      </c>
    </row>
    <row r="12" spans="1:22" x14ac:dyDescent="0.25">
      <c r="F12">
        <f>CHOOSE(3,A2,B2,C2)</f>
        <v>87</v>
      </c>
      <c r="G12">
        <f ca="1">OFFSET(B2,7,1)</f>
        <v>56</v>
      </c>
      <c r="H12" t="str">
        <f ca="1">_xlfn.FORMULATEXT(F12)</f>
        <v>=CHOOSE(3,A2,B2,C2)</v>
      </c>
      <c r="L12" s="4" t="str">
        <v>Geography</v>
      </c>
      <c r="M12" s="4">
        <v>87</v>
      </c>
      <c r="N12" s="4">
        <v>67</v>
      </c>
      <c r="O12" s="4">
        <v>55</v>
      </c>
      <c r="P12" s="4">
        <v>69</v>
      </c>
      <c r="Q12" s="4">
        <v>40</v>
      </c>
      <c r="R12" s="4">
        <v>43</v>
      </c>
      <c r="S12" s="4">
        <v>51</v>
      </c>
      <c r="T12" s="4">
        <v>56</v>
      </c>
      <c r="U12" s="4">
        <v>43</v>
      </c>
      <c r="V12" s="4">
        <v>50</v>
      </c>
    </row>
    <row r="13" spans="1:22" x14ac:dyDescent="0.25">
      <c r="F13" s="3" t="str">
        <f>HYPERLINK("www.google.com","google")</f>
        <v>google</v>
      </c>
    </row>
    <row r="14" spans="1:22" x14ac:dyDescent="0.25">
      <c r="A14">
        <f>INDEX(A1:C11,MATCH("Leon",A1:A11,0),3)</f>
        <v>43</v>
      </c>
      <c r="B14" cm="1">
        <f t="array" ref="B14">INDEX(C2:C11, _xlfn.XMATCH("Mark",A2:A11,0))</f>
        <v>43</v>
      </c>
    </row>
    <row r="15" spans="1:22" x14ac:dyDescent="0.25">
      <c r="A15">
        <f>MATCH("Maths",A1:C1,0)</f>
        <v>2</v>
      </c>
      <c r="I15">
        <f>AREAS((A1:A11,C1:C11))</f>
        <v>2</v>
      </c>
      <c r="J15">
        <f>COLUMN(C1)</f>
        <v>3</v>
      </c>
    </row>
    <row r="16" spans="1:22" x14ac:dyDescent="0.25">
      <c r="I16">
        <f>ROW(C2)</f>
        <v>2</v>
      </c>
      <c r="J16">
        <f>COLUMNS(A1:C11)</f>
        <v>3</v>
      </c>
    </row>
    <row r="17" spans="10:10" x14ac:dyDescent="0.25">
      <c r="J17">
        <f>ROWS(A1:C11)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Node6</dc:creator>
  <cp:lastModifiedBy>Node6</cp:lastModifiedBy>
  <dcterms:created xsi:type="dcterms:W3CDTF">2025-10-13T05:07:03Z</dcterms:created>
  <dcterms:modified xsi:type="dcterms:W3CDTF">2025-10-23T06:18:13Z</dcterms:modified>
</cp:coreProperties>
</file>