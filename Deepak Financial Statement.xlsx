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ode6\Documents\"/>
    </mc:Choice>
  </mc:AlternateContent>
  <xr:revisionPtr revIDLastSave="0" documentId="13_ncr:1_{7D084B8A-2ECD-4087-B495-82A8D7039B43}" xr6:coauthVersionLast="47" xr6:coauthVersionMax="47" xr10:uidLastSave="{00000000-0000-0000-0000-000000000000}"/>
  <bookViews>
    <workbookView xWindow="-120" yWindow="-120" windowWidth="29040" windowHeight="15840" xr2:uid="{041A7E8A-238A-4E9A-98F0-67240D875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3" i="1"/>
  <c r="A4" i="1"/>
  <c r="A5" i="1"/>
  <c r="A6" i="1"/>
  <c r="F6" i="1" s="1"/>
  <c r="A7" i="1"/>
  <c r="A8" i="1" s="1"/>
  <c r="A3" i="1"/>
  <c r="D25" i="1"/>
  <c r="D26" i="1" s="1"/>
  <c r="G2" i="1"/>
  <c r="F3" i="1"/>
  <c r="F4" i="1"/>
  <c r="F5" i="1"/>
  <c r="F2" i="1"/>
  <c r="E4" i="1"/>
  <c r="E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F8" i="1" l="1"/>
  <c r="A9" i="1"/>
  <c r="E8" i="1"/>
  <c r="E7" i="1"/>
  <c r="F7" i="1"/>
  <c r="E6" i="1"/>
  <c r="G3" i="1"/>
  <c r="G4" i="1" s="1"/>
  <c r="G5" i="1" s="1"/>
  <c r="A10" i="1" l="1"/>
  <c r="E9" i="1"/>
  <c r="F9" i="1"/>
  <c r="G6" i="1"/>
  <c r="G7" i="1" s="1"/>
  <c r="G8" i="1" s="1"/>
  <c r="F10" i="1" l="1"/>
  <c r="E10" i="1"/>
  <c r="A11" i="1"/>
  <c r="G9" i="1"/>
  <c r="A12" i="1" l="1"/>
  <c r="F11" i="1"/>
  <c r="E11" i="1"/>
  <c r="G10" i="1"/>
  <c r="F12" i="1" l="1"/>
  <c r="E12" i="1"/>
  <c r="A13" i="1"/>
  <c r="G11" i="1"/>
  <c r="G12" i="1" s="1"/>
  <c r="E13" i="1" l="1"/>
  <c r="G13" i="1" s="1"/>
  <c r="A14" i="1"/>
  <c r="F13" i="1"/>
  <c r="F14" i="1" l="1"/>
  <c r="E14" i="1"/>
  <c r="G14" i="1" s="1"/>
  <c r="A15" i="1"/>
  <c r="A16" i="1" l="1"/>
  <c r="F15" i="1"/>
  <c r="E15" i="1"/>
  <c r="G15" i="1" s="1"/>
  <c r="F16" i="1" l="1"/>
  <c r="E16" i="1"/>
  <c r="G16" i="1" s="1"/>
  <c r="A17" i="1"/>
  <c r="E17" i="1" l="1"/>
  <c r="G17" i="1" s="1"/>
  <c r="A18" i="1"/>
  <c r="F17" i="1"/>
  <c r="F18" i="1" l="1"/>
  <c r="E18" i="1"/>
  <c r="G18" i="1" s="1"/>
  <c r="A19" i="1"/>
  <c r="A20" i="1" l="1"/>
  <c r="F19" i="1"/>
  <c r="E19" i="1"/>
  <c r="G19" i="1" s="1"/>
  <c r="F20" i="1" l="1"/>
  <c r="A21" i="1"/>
  <c r="E20" i="1"/>
  <c r="G20" i="1" s="1"/>
  <c r="A22" i="1" l="1"/>
  <c r="F21" i="1"/>
  <c r="E21" i="1"/>
  <c r="G21" i="1" s="1"/>
  <c r="F22" i="1" l="1"/>
  <c r="E22" i="1"/>
  <c r="G22" i="1" s="1"/>
  <c r="A23" i="1"/>
  <c r="A24" i="1" l="1"/>
  <c r="F23" i="1"/>
  <c r="E23" i="1"/>
  <c r="G23" i="1" s="1"/>
  <c r="F24" i="1" l="1"/>
  <c r="E24" i="1"/>
  <c r="G24" i="1" s="1"/>
  <c r="A25" i="1"/>
  <c r="E26" i="1" l="1"/>
  <c r="F25" i="1"/>
  <c r="F26" i="1" s="1"/>
  <c r="G25" i="1" l="1"/>
</calcChain>
</file>

<file path=xl/sharedStrings.xml><?xml version="1.0" encoding="utf-8"?>
<sst xmlns="http://schemas.openxmlformats.org/spreadsheetml/2006/main" count="7" uniqueCount="7">
  <si>
    <t>SI NO</t>
  </si>
  <si>
    <t>AMOUNT</t>
  </si>
  <si>
    <t>INTEREST</t>
  </si>
  <si>
    <t>PMT(EMI)</t>
  </si>
  <si>
    <t>PPMT(PRINCIPAL)</t>
  </si>
  <si>
    <t>IPMT(INTEREST)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</si>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</sst>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49]\ * #,##0.00_ ;_ [$₹-449]\ * \-#,##0.00_ ;_ [$₹-44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0" fillId="2" borderId="0" xfId="0" applyFill="1"/>
    <xf numFmtId="164" fontId="0" fillId="3" borderId="0" xfId="0" applyNumberFormat="1" applyFill="1"/>
    <xf numFmtId="164" fontId="0" fillId="0" borderId="1" xfId="0" applyNumberFormat="1" applyBorder="1"/>
    <xf numFmtId="164" fontId="0" fillId="0" borderId="3" xfId="1" applyNumberFormat="1" applyFont="1" applyBorder="1"/>
    <xf numFmtId="164" fontId="0" fillId="0" borderId="0" xfId="0" applyNumberFormat="1"/>
    <xf numFmtId="164" fontId="0" fillId="0" borderId="2" xfId="1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1" applyNumberFormat="1" applyFont="1" applyBorder="1"/>
    <xf numFmtId="164" fontId="0" fillId="0" borderId="8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55479548420587"/>
          <c:y val="0.1697396841788219"/>
          <c:w val="0.7973495188101487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Sheet1!$F$2:$F$25</c:f>
              <c:numCache>
                <c:formatCode>_ [$₹-449]\ * #,##0.00_ ;_ [$₹-449]\ * \-#,##0.00_ ;_ [$₹-449]\ * "-"??_ ;_ @_ </c:formatCode>
                <c:ptCount val="24"/>
                <c:pt idx="0">
                  <c:v>16.666666666666668</c:v>
                </c:pt>
                <c:pt idx="1">
                  <c:v>15.985440054969775</c:v>
                </c:pt>
                <c:pt idx="2">
                  <c:v>15.303078065586719</c:v>
                </c:pt>
                <c:pt idx="3">
                  <c:v>14.619578806221362</c:v>
                </c:pt>
                <c:pt idx="4">
                  <c:v>13.934940381423726</c:v>
                </c:pt>
                <c:pt idx="5">
                  <c:v>13.249160892584761</c:v>
                </c:pt>
                <c:pt idx="6">
                  <c:v>12.562238437931065</c:v>
                </c:pt>
                <c:pt idx="7">
                  <c:v>11.874171112519614</c:v>
                </c:pt>
                <c:pt idx="8">
                  <c:v>11.184957008232475</c:v>
                </c:pt>
                <c:pt idx="9">
                  <c:v>10.494594213771526</c:v>
                </c:pt>
                <c:pt idx="10">
                  <c:v>9.8030808146531427</c:v>
                </c:pt>
                <c:pt idx="11">
                  <c:v>9.1104148932028934</c:v>
                </c:pt>
                <c:pt idx="12">
                  <c:v>8.4165945285502275</c:v>
                </c:pt>
                <c:pt idx="13">
                  <c:v>7.7216177966231383</c:v>
                </c:pt>
                <c:pt idx="14">
                  <c:v>7.0254827701428413</c:v>
                </c:pt>
                <c:pt idx="15">
                  <c:v>6.3281875186184084</c:v>
                </c:pt>
                <c:pt idx="16">
                  <c:v>5.6297301083414357</c:v>
                </c:pt>
                <c:pt idx="17">
                  <c:v>4.9301086023806677</c:v>
                </c:pt>
                <c:pt idx="18">
                  <c:v>4.2293210605766314</c:v>
                </c:pt>
                <c:pt idx="19">
                  <c:v>3.5273655395362549</c:v>
                </c:pt>
                <c:pt idx="20">
                  <c:v>2.8242400926274782</c:v>
                </c:pt>
                <c:pt idx="21">
                  <c:v>2.119942769973854</c:v>
                </c:pt>
                <c:pt idx="22">
                  <c:v>1.4144716184491395</c:v>
                </c:pt>
                <c:pt idx="23">
                  <c:v>0.70782468167188417</c:v>
                </c:pt>
              </c:numCache>
            </c:numRef>
          </c:cat>
          <c:val>
            <c:numRef>
              <c:f>Sheet1!$G$2:$G$25</c:f>
              <c:numCache>
                <c:formatCode>_ [$₹-449]\ * #,##0.00_ ;_ [$₹-449]\ * \-#,##0.00_ ;_ [$₹-449]\ * "-"??_ ;_ @_ </c:formatCode>
                <c:ptCount val="24"/>
                <c:pt idx="0">
                  <c:v>9591.2640329818641</c:v>
                </c:pt>
                <c:pt idx="1">
                  <c:v>9181.8468393520325</c:v>
                </c:pt>
                <c:pt idx="2">
                  <c:v>8771.7472837328169</c:v>
                </c:pt>
                <c:pt idx="3">
                  <c:v>8360.9642288542364</c:v>
                </c:pt>
                <c:pt idx="4">
                  <c:v>7949.4965355508575</c:v>
                </c:pt>
                <c:pt idx="5">
                  <c:v>7537.3430627586404</c:v>
                </c:pt>
                <c:pt idx="6">
                  <c:v>7124.5026675117688</c:v>
                </c:pt>
                <c:pt idx="7">
                  <c:v>6710.9742049394863</c:v>
                </c:pt>
                <c:pt idx="8">
                  <c:v>6296.7565282629166</c:v>
                </c:pt>
                <c:pt idx="9">
                  <c:v>5881.8484887918858</c:v>
                </c:pt>
                <c:pt idx="10">
                  <c:v>5466.248935921737</c:v>
                </c:pt>
                <c:pt idx="11">
                  <c:v>5049.9567171301378</c:v>
                </c:pt>
                <c:pt idx="12">
                  <c:v>4632.9706779738854</c:v>
                </c:pt>
                <c:pt idx="13">
                  <c:v>4215.2896620857064</c:v>
                </c:pt>
                <c:pt idx="14">
                  <c:v>3796.9125111710468</c:v>
                </c:pt>
                <c:pt idx="15">
                  <c:v>3377.838065004863</c:v>
                </c:pt>
                <c:pt idx="16">
                  <c:v>2958.065161428402</c:v>
                </c:pt>
                <c:pt idx="17">
                  <c:v>2537.5926363459803</c:v>
                </c:pt>
                <c:pt idx="18">
                  <c:v>2116.4193237217546</c:v>
                </c:pt>
                <c:pt idx="19">
                  <c:v>1694.5440555764885</c:v>
                </c:pt>
                <c:pt idx="20">
                  <c:v>1271.9656619843138</c:v>
                </c:pt>
                <c:pt idx="21">
                  <c:v>848.68297106948535</c:v>
                </c:pt>
                <c:pt idx="22">
                  <c:v>424.69480900313221</c:v>
                </c:pt>
                <c:pt idx="23">
                  <c:v>1.7621459846850485E-12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2-4205-A989-02AE5681DA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9719632"/>
        <c:axId val="79720112"/>
      </c:barChart>
      <c:catAx>
        <c:axId val="7971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49]\ * #,##0.00_ ;_ [$₹-449]\ * \-#,##0.00_ ;_ [$₹-44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0112"/>
        <c:crosses val="autoZero"/>
        <c:auto val="1"/>
        <c:lblAlgn val="ctr"/>
        <c:lblOffset val="100"/>
        <c:noMultiLvlLbl val="0"/>
      </c:catAx>
      <c:valAx>
        <c:axId val="79720112"/>
        <c:scaling>
          <c:orientation val="minMax"/>
        </c:scaling>
        <c:delete val="1"/>
        <c:axPos val="l"/>
        <c:numFmt formatCode="_ [$₹-449]\ * #,##0.00_ ;_ [$₹-449]\ * \-#,##0.00_ ;_ [$₹-449]\ * &quot;-&quot;??_ ;_ @_ " sourceLinked="1"/>
        <c:majorTickMark val="none"/>
        <c:minorTickMark val="none"/>
        <c:tickLblPos val="nextTo"/>
        <c:crossAx val="7971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5968759113444153"/>
          <c:w val="0.86486351706036746"/>
          <c:h val="0.5438032225138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SI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9-41C0-A318-7D49A38F2BE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Sheet1!$B$2:$B$26</c:f>
              <c:numCache>
                <c:formatCode>General</c:formatCode>
                <c:ptCount val="2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9-41C0-A318-7D49A38F2BEC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Sheet1!$C$2:$C$26</c:f>
              <c:numCache>
                <c:formatCode>0%</c:formatCode>
                <c:ptCount val="2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9-41C0-A318-7D49A38F2BEC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PMT(EMI)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Sheet1!$D$2:$D$26</c:f>
              <c:numCache>
                <c:formatCode>_ [$₹-449]\ * #,##0.00_ ;_ [$₹-449]\ * \-#,##0.00_ ;_ [$₹-449]\ * "-"??_ ;_ @_ </c:formatCode>
                <c:ptCount val="25"/>
                <c:pt idx="0">
                  <c:v>425.40263368480231</c:v>
                </c:pt>
                <c:pt idx="1">
                  <c:v>425.40263368480231</c:v>
                </c:pt>
                <c:pt idx="2">
                  <c:v>425.40263368480231</c:v>
                </c:pt>
                <c:pt idx="3">
                  <c:v>425.40263368480231</c:v>
                </c:pt>
                <c:pt idx="4">
                  <c:v>425.40263368480231</c:v>
                </c:pt>
                <c:pt idx="5">
                  <c:v>425.40263368480231</c:v>
                </c:pt>
                <c:pt idx="6">
                  <c:v>425.40263368480231</c:v>
                </c:pt>
                <c:pt idx="7">
                  <c:v>425.40263368480231</c:v>
                </c:pt>
                <c:pt idx="8">
                  <c:v>425.40263368480231</c:v>
                </c:pt>
                <c:pt idx="9">
                  <c:v>425.40263368480231</c:v>
                </c:pt>
                <c:pt idx="10">
                  <c:v>425.40263368480231</c:v>
                </c:pt>
                <c:pt idx="11">
                  <c:v>425.40263368480231</c:v>
                </c:pt>
                <c:pt idx="12">
                  <c:v>425.40263368480231</c:v>
                </c:pt>
                <c:pt idx="13">
                  <c:v>425.40263368480231</c:v>
                </c:pt>
                <c:pt idx="14">
                  <c:v>425.40263368480231</c:v>
                </c:pt>
                <c:pt idx="15">
                  <c:v>425.40263368480231</c:v>
                </c:pt>
                <c:pt idx="16">
                  <c:v>425.40263368480231</c:v>
                </c:pt>
                <c:pt idx="17">
                  <c:v>425.40263368480231</c:v>
                </c:pt>
                <c:pt idx="18">
                  <c:v>425.40263368480231</c:v>
                </c:pt>
                <c:pt idx="19">
                  <c:v>425.40263368480231</c:v>
                </c:pt>
                <c:pt idx="20">
                  <c:v>425.40263368480231</c:v>
                </c:pt>
                <c:pt idx="21">
                  <c:v>425.40263368480231</c:v>
                </c:pt>
                <c:pt idx="22">
                  <c:v>425.40263368480231</c:v>
                </c:pt>
                <c:pt idx="23">
                  <c:v>425.40263368480231</c:v>
                </c:pt>
                <c:pt idx="24">
                  <c:v>10209.66320843525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B9-41C0-A318-7D49A38F2BEC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PPMT(PRINCIPAL)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Sheet1!$E$2:$E$26</c:f>
              <c:numCache>
                <c:formatCode>_ [$₹-449]\ * #,##0.00_ ;_ [$₹-449]\ * \-#,##0.00_ ;_ [$₹-449]\ * "-"??_ ;_ @_ </c:formatCode>
                <c:ptCount val="25"/>
                <c:pt idx="0">
                  <c:v>408.73596701813563</c:v>
                </c:pt>
                <c:pt idx="1">
                  <c:v>409.41719362983252</c:v>
                </c:pt>
                <c:pt idx="2">
                  <c:v>410.09955561921555</c:v>
                </c:pt>
                <c:pt idx="3">
                  <c:v>410.78305487858091</c:v>
                </c:pt>
                <c:pt idx="4">
                  <c:v>411.46769330337861</c:v>
                </c:pt>
                <c:pt idx="5">
                  <c:v>412.15347279221754</c:v>
                </c:pt>
                <c:pt idx="6">
                  <c:v>412.8403952468712</c:v>
                </c:pt>
                <c:pt idx="7">
                  <c:v>413.52846257228271</c:v>
                </c:pt>
                <c:pt idx="8">
                  <c:v>414.21767667656985</c:v>
                </c:pt>
                <c:pt idx="9">
                  <c:v>414.90803947103075</c:v>
                </c:pt>
                <c:pt idx="10">
                  <c:v>415.59955287014913</c:v>
                </c:pt>
                <c:pt idx="11">
                  <c:v>416.2922187915994</c:v>
                </c:pt>
                <c:pt idx="12">
                  <c:v>416.98603915625205</c:v>
                </c:pt>
                <c:pt idx="13">
                  <c:v>417.6810158881791</c:v>
                </c:pt>
                <c:pt idx="14">
                  <c:v>418.37715091465947</c:v>
                </c:pt>
                <c:pt idx="15">
                  <c:v>419.07444616618392</c:v>
                </c:pt>
                <c:pt idx="16">
                  <c:v>419.77290357646086</c:v>
                </c:pt>
                <c:pt idx="17">
                  <c:v>420.47252508242161</c:v>
                </c:pt>
                <c:pt idx="18">
                  <c:v>421.17331262422567</c:v>
                </c:pt>
                <c:pt idx="19">
                  <c:v>421.87526814526603</c:v>
                </c:pt>
                <c:pt idx="20">
                  <c:v>422.57839359217479</c:v>
                </c:pt>
                <c:pt idx="21">
                  <c:v>423.28269091482844</c:v>
                </c:pt>
                <c:pt idx="22">
                  <c:v>423.98816206635314</c:v>
                </c:pt>
                <c:pt idx="23">
                  <c:v>424.69480900313044</c:v>
                </c:pt>
                <c:pt idx="24">
                  <c:v>9999.9999999999982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9-41C0-A318-7D49A38F2BEC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IPMT(INTEREST)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Sheet1!$F$2:$F$26</c:f>
              <c:numCache>
                <c:formatCode>_ [$₹-449]\ * #,##0.00_ ;_ [$₹-449]\ * \-#,##0.00_ ;_ [$₹-449]\ * "-"??_ ;_ @_ </c:formatCode>
                <c:ptCount val="25"/>
                <c:pt idx="0">
                  <c:v>16.666666666666668</c:v>
                </c:pt>
                <c:pt idx="1">
                  <c:v>15.985440054969775</c:v>
                </c:pt>
                <c:pt idx="2">
                  <c:v>15.303078065586719</c:v>
                </c:pt>
                <c:pt idx="3">
                  <c:v>14.619578806221362</c:v>
                </c:pt>
                <c:pt idx="4">
                  <c:v>13.934940381423726</c:v>
                </c:pt>
                <c:pt idx="5">
                  <c:v>13.249160892584761</c:v>
                </c:pt>
                <c:pt idx="6">
                  <c:v>12.562238437931065</c:v>
                </c:pt>
                <c:pt idx="7">
                  <c:v>11.874171112519614</c:v>
                </c:pt>
                <c:pt idx="8">
                  <c:v>11.184957008232475</c:v>
                </c:pt>
                <c:pt idx="9">
                  <c:v>10.494594213771526</c:v>
                </c:pt>
                <c:pt idx="10">
                  <c:v>9.8030808146531427</c:v>
                </c:pt>
                <c:pt idx="11">
                  <c:v>9.1104148932028934</c:v>
                </c:pt>
                <c:pt idx="12">
                  <c:v>8.4165945285502275</c:v>
                </c:pt>
                <c:pt idx="13">
                  <c:v>7.7216177966231383</c:v>
                </c:pt>
                <c:pt idx="14">
                  <c:v>7.0254827701428413</c:v>
                </c:pt>
                <c:pt idx="15">
                  <c:v>6.3281875186184084</c:v>
                </c:pt>
                <c:pt idx="16">
                  <c:v>5.6297301083414357</c:v>
                </c:pt>
                <c:pt idx="17">
                  <c:v>4.9301086023806677</c:v>
                </c:pt>
                <c:pt idx="18">
                  <c:v>4.2293210605766314</c:v>
                </c:pt>
                <c:pt idx="19">
                  <c:v>3.5273655395362549</c:v>
                </c:pt>
                <c:pt idx="20">
                  <c:v>2.8242400926274782</c:v>
                </c:pt>
                <c:pt idx="21">
                  <c:v>2.119942769973854</c:v>
                </c:pt>
                <c:pt idx="22">
                  <c:v>1.4144716184491395</c:v>
                </c:pt>
                <c:pt idx="23">
                  <c:v>0.70782468167188417</c:v>
                </c:pt>
                <c:pt idx="24">
                  <c:v>209.66320843525577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B9-41C0-A318-7D49A38F2BEC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Sheet1!$G$2:$G$26</c:f>
              <c:numCache>
                <c:formatCode>_ [$₹-449]\ * #,##0.00_ ;_ [$₹-449]\ * \-#,##0.00_ ;_ [$₹-449]\ * "-"??_ ;_ @_ </c:formatCode>
                <c:ptCount val="25"/>
                <c:pt idx="0">
                  <c:v>9591.2640329818641</c:v>
                </c:pt>
                <c:pt idx="1">
                  <c:v>9181.8468393520325</c:v>
                </c:pt>
                <c:pt idx="2">
                  <c:v>8771.7472837328169</c:v>
                </c:pt>
                <c:pt idx="3">
                  <c:v>8360.9642288542364</c:v>
                </c:pt>
                <c:pt idx="4">
                  <c:v>7949.4965355508575</c:v>
                </c:pt>
                <c:pt idx="5">
                  <c:v>7537.3430627586404</c:v>
                </c:pt>
                <c:pt idx="6">
                  <c:v>7124.5026675117688</c:v>
                </c:pt>
                <c:pt idx="7">
                  <c:v>6710.9742049394863</c:v>
                </c:pt>
                <c:pt idx="8">
                  <c:v>6296.7565282629166</c:v>
                </c:pt>
                <c:pt idx="9">
                  <c:v>5881.8484887918858</c:v>
                </c:pt>
                <c:pt idx="10">
                  <c:v>5466.248935921737</c:v>
                </c:pt>
                <c:pt idx="11">
                  <c:v>5049.9567171301378</c:v>
                </c:pt>
                <c:pt idx="12">
                  <c:v>4632.9706779738854</c:v>
                </c:pt>
                <c:pt idx="13">
                  <c:v>4215.2896620857064</c:v>
                </c:pt>
                <c:pt idx="14">
                  <c:v>3796.9125111710468</c:v>
                </c:pt>
                <c:pt idx="15">
                  <c:v>3377.838065004863</c:v>
                </c:pt>
                <c:pt idx="16">
                  <c:v>2958.065161428402</c:v>
                </c:pt>
                <c:pt idx="17">
                  <c:v>2537.5926363459803</c:v>
                </c:pt>
                <c:pt idx="18">
                  <c:v>2116.4193237217546</c:v>
                </c:pt>
                <c:pt idx="19">
                  <c:v>1694.5440555764885</c:v>
                </c:pt>
                <c:pt idx="20">
                  <c:v>1271.9656619843138</c:v>
                </c:pt>
                <c:pt idx="21">
                  <c:v>848.68297106948535</c:v>
                </c:pt>
                <c:pt idx="22">
                  <c:v>424.69480900313221</c:v>
                </c:pt>
                <c:pt idx="23">
                  <c:v>1.7621459846850485E-12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B9-41C0-A318-7D49A38F2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2106064"/>
        <c:axId val="242104624"/>
      </c:barChart>
      <c:catAx>
        <c:axId val="24210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04624"/>
        <c:crosses val="autoZero"/>
        <c:auto val="1"/>
        <c:lblAlgn val="ctr"/>
        <c:lblOffset val="100"/>
        <c:noMultiLvlLbl val="0"/>
      </c:catAx>
      <c:valAx>
        <c:axId val="2421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739585156022164"/>
          <c:w val="0.93888888888888888"/>
          <c:h val="0.59803113152522602"/>
        </c:manualLayout>
      </c:layout>
      <c:ofPieChart>
        <c:ofPieType val="bar"/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PMT(EMI)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CF-4B4B-B14A-C7D2DBEFBB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CF-4B4B-B14A-C7D2DBEFBB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CF-4B4B-B14A-C7D2DBEFBB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CF-4B4B-B14A-C7D2DBEFBB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CF-4B4B-B14A-C7D2DBEFBB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CF-4B4B-B14A-C7D2DBEFBB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DCF-4B4B-B14A-C7D2DBEFBB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CF-4B4B-B14A-C7D2DBEFBB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DCF-4B4B-B14A-C7D2DBEFBB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DCF-4B4B-B14A-C7D2DBEFBB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DCF-4B4B-B14A-C7D2DBEFBB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DCF-4B4B-B14A-C7D2DBEFBB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DCF-4B4B-B14A-C7D2DBEFBB1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DCF-4B4B-B14A-C7D2DBEFBB1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DCF-4B4B-B14A-C7D2DBEFBB1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DCF-4B4B-B14A-C7D2DBEFBB1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DCF-4B4B-B14A-C7D2DBEFBB1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DCF-4B4B-B14A-C7D2DBEFBB1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DCF-4B4B-B14A-C7D2DBEFBB1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DCF-4B4B-B14A-C7D2DBEFBB1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DCF-4B4B-B14A-C7D2DBEFBB1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DCF-4B4B-B14A-C7D2DBEFBB1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DCF-4B4B-B14A-C7D2DBEFBB1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DCF-4B4B-B14A-C7D2DBEFBB1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DCF-4B4B-B14A-C7D2DBEFBB16}"/>
              </c:ext>
            </c:extLst>
          </c:dPt>
          <c:val>
            <c:numRef>
              <c:f>Sheet1!$D$2:$D$25</c:f>
              <c:numCache>
                <c:formatCode>_ [$₹-449]\ * #,##0.00_ ;_ [$₹-449]\ * \-#,##0.00_ ;_ [$₹-449]\ * "-"??_ ;_ @_ </c:formatCode>
                <c:ptCount val="24"/>
                <c:pt idx="0">
                  <c:v>425.40263368480231</c:v>
                </c:pt>
                <c:pt idx="1">
                  <c:v>425.40263368480231</c:v>
                </c:pt>
                <c:pt idx="2">
                  <c:v>425.40263368480231</c:v>
                </c:pt>
                <c:pt idx="3">
                  <c:v>425.40263368480231</c:v>
                </c:pt>
                <c:pt idx="4">
                  <c:v>425.40263368480231</c:v>
                </c:pt>
                <c:pt idx="5">
                  <c:v>425.40263368480231</c:v>
                </c:pt>
                <c:pt idx="6">
                  <c:v>425.40263368480231</c:v>
                </c:pt>
                <c:pt idx="7">
                  <c:v>425.40263368480231</c:v>
                </c:pt>
                <c:pt idx="8">
                  <c:v>425.40263368480231</c:v>
                </c:pt>
                <c:pt idx="9">
                  <c:v>425.40263368480231</c:v>
                </c:pt>
                <c:pt idx="10">
                  <c:v>425.40263368480231</c:v>
                </c:pt>
                <c:pt idx="11">
                  <c:v>425.40263368480231</c:v>
                </c:pt>
                <c:pt idx="12">
                  <c:v>425.40263368480231</c:v>
                </c:pt>
                <c:pt idx="13">
                  <c:v>425.40263368480231</c:v>
                </c:pt>
                <c:pt idx="14">
                  <c:v>425.40263368480231</c:v>
                </c:pt>
                <c:pt idx="15">
                  <c:v>425.40263368480231</c:v>
                </c:pt>
                <c:pt idx="16">
                  <c:v>425.40263368480231</c:v>
                </c:pt>
                <c:pt idx="17">
                  <c:v>425.40263368480231</c:v>
                </c:pt>
                <c:pt idx="18">
                  <c:v>425.40263368480231</c:v>
                </c:pt>
                <c:pt idx="19">
                  <c:v>425.40263368480231</c:v>
                </c:pt>
                <c:pt idx="20">
                  <c:v>425.40263368480231</c:v>
                </c:pt>
                <c:pt idx="21">
                  <c:v>425.40263368480231</c:v>
                </c:pt>
                <c:pt idx="22">
                  <c:v>425.40263368480231</c:v>
                </c:pt>
                <c:pt idx="23">
                  <c:v>425.40263368480231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2-400B-95CB-E4E16E7F010D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PPMT(PRINCIPAL)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DCF-4B4B-B14A-C7D2DBEFBB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DCF-4B4B-B14A-C7D2DBEFBB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DCF-4B4B-B14A-C7D2DBEFBB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DCF-4B4B-B14A-C7D2DBEFBB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DCF-4B4B-B14A-C7D2DBEFBB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DCF-4B4B-B14A-C7D2DBEFBB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DCF-4B4B-B14A-C7D2DBEFBB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DCF-4B4B-B14A-C7D2DBEFBB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DCF-4B4B-B14A-C7D2DBEFBB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DCF-4B4B-B14A-C7D2DBEFBB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DCF-4B4B-B14A-C7D2DBEFBB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DCF-4B4B-B14A-C7D2DBEFBB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DCF-4B4B-B14A-C7D2DBEFBB1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DCF-4B4B-B14A-C7D2DBEFBB1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DCF-4B4B-B14A-C7D2DBEFBB1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DCF-4B4B-B14A-C7D2DBEFBB1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DCF-4B4B-B14A-C7D2DBEFBB1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DCF-4B4B-B14A-C7D2DBEFBB1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DCF-4B4B-B14A-C7D2DBEFBB1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DCF-4B4B-B14A-C7D2DBEFBB1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DCF-4B4B-B14A-C7D2DBEFBB1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DCF-4B4B-B14A-C7D2DBEFBB1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DCF-4B4B-B14A-C7D2DBEFBB1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DCF-4B4B-B14A-C7D2DBEFBB1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DCF-4B4B-B14A-C7D2DBEFBB16}"/>
              </c:ext>
            </c:extLst>
          </c:dPt>
          <c:val>
            <c:numRef>
              <c:f>Sheet1!$E$2:$E$25</c:f>
              <c:numCache>
                <c:formatCode>_ [$₹-449]\ * #,##0.00_ ;_ [$₹-449]\ * \-#,##0.00_ ;_ [$₹-449]\ * "-"??_ ;_ @_ </c:formatCode>
                <c:ptCount val="24"/>
                <c:pt idx="0">
                  <c:v>408.73596701813563</c:v>
                </c:pt>
                <c:pt idx="1">
                  <c:v>409.41719362983252</c:v>
                </c:pt>
                <c:pt idx="2">
                  <c:v>410.09955561921555</c:v>
                </c:pt>
                <c:pt idx="3">
                  <c:v>410.78305487858091</c:v>
                </c:pt>
                <c:pt idx="4">
                  <c:v>411.46769330337861</c:v>
                </c:pt>
                <c:pt idx="5">
                  <c:v>412.15347279221754</c:v>
                </c:pt>
                <c:pt idx="6">
                  <c:v>412.8403952468712</c:v>
                </c:pt>
                <c:pt idx="7">
                  <c:v>413.52846257228271</c:v>
                </c:pt>
                <c:pt idx="8">
                  <c:v>414.21767667656985</c:v>
                </c:pt>
                <c:pt idx="9">
                  <c:v>414.90803947103075</c:v>
                </c:pt>
                <c:pt idx="10">
                  <c:v>415.59955287014913</c:v>
                </c:pt>
                <c:pt idx="11">
                  <c:v>416.2922187915994</c:v>
                </c:pt>
                <c:pt idx="12">
                  <c:v>416.98603915625205</c:v>
                </c:pt>
                <c:pt idx="13">
                  <c:v>417.6810158881791</c:v>
                </c:pt>
                <c:pt idx="14">
                  <c:v>418.37715091465947</c:v>
                </c:pt>
                <c:pt idx="15">
                  <c:v>419.07444616618392</c:v>
                </c:pt>
                <c:pt idx="16">
                  <c:v>419.77290357646086</c:v>
                </c:pt>
                <c:pt idx="17">
                  <c:v>420.47252508242161</c:v>
                </c:pt>
                <c:pt idx="18">
                  <c:v>421.17331262422567</c:v>
                </c:pt>
                <c:pt idx="19">
                  <c:v>421.87526814526603</c:v>
                </c:pt>
                <c:pt idx="20">
                  <c:v>422.57839359217479</c:v>
                </c:pt>
                <c:pt idx="21">
                  <c:v>423.28269091482844</c:v>
                </c:pt>
                <c:pt idx="22">
                  <c:v>423.98816206635314</c:v>
                </c:pt>
                <c:pt idx="23">
                  <c:v>424.69480900313044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2-400B-95CB-E4E16E7F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600074</xdr:colOff>
      <xdr:row>18</xdr:row>
      <xdr:rowOff>123825</xdr:rowOff>
    </xdr:from>
    <xdr:to>
      <xdr:col>28</xdr:col>
      <xdr:colOff>266699</xdr:colOff>
      <xdr:row>36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7959C1-B02E-E2E5-8447-764B0EDE7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0</xdr:row>
      <xdr:rowOff>38100</xdr:rowOff>
    </xdr:from>
    <xdr:to>
      <xdr:col>19</xdr:col>
      <xdr:colOff>590550</xdr:colOff>
      <xdr:row>29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3EC093-FDCF-C5E7-D6AB-F605871E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600075</xdr:colOff>
      <xdr:row>0</xdr:row>
      <xdr:rowOff>23812</xdr:rowOff>
    </xdr:from>
    <xdr:to>
      <xdr:col>28</xdr:col>
      <xdr:colOff>314325</xdr:colOff>
      <xdr:row>18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8153A0-E5C4-DFCC-FFD5-3188B7E4A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5A517B-6385-4CFF-B305-4D4DD76243D8}">
  <we:reference id="wa200005271" version="2.6.1.0" store="en-US" storeType="OMEX"/>
  <we:alternateReferences>
    <we:reference id="wa200005271" version="2.6.1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943C-1E26-49DD-8E4B-3C5B1AF36E37}">
  <sheetPr codeName="Sheet1"/>
  <dimension ref="A1:G26"/>
  <sheetViews>
    <sheetView tabSelected="1" workbookViewId="0">
      <selection activeCell="R32" sqref="R32"/>
    </sheetView>
  </sheetViews>
  <sheetFormatPr defaultRowHeight="15" x14ac:dyDescent="0.25"/>
  <cols>
    <col min="4" max="5" width="11.5703125" bestFit="1" customWidth="1"/>
    <col min="7" max="7" width="10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10000</v>
      </c>
      <c r="C2" s="1">
        <v>0.02</v>
      </c>
      <c r="D2" s="5">
        <f>PMT(2%/12,24,-10000)</f>
        <v>425.40263368480231</v>
      </c>
      <c r="E2" s="6">
        <f>PPMT(2%/12,A2,24,-10000)</f>
        <v>408.73596701813563</v>
      </c>
      <c r="F2" s="6">
        <f>IPMT(2%/12,A2,24,-10000)</f>
        <v>16.666666666666668</v>
      </c>
      <c r="G2" s="9">
        <f>(10000 - E2)</f>
        <v>9591.2640329818641</v>
      </c>
    </row>
    <row r="3" spans="1:7" x14ac:dyDescent="0.25">
      <c r="A3">
        <f>(A2 + 1)</f>
        <v>2</v>
      </c>
      <c r="B3">
        <v>10000</v>
      </c>
      <c r="C3" s="1">
        <v>0.02</v>
      </c>
      <c r="D3" s="5">
        <f t="shared" ref="D3:D24" si="0">PMT(2%/12,24,-10000)</f>
        <v>425.40263368480231</v>
      </c>
      <c r="E3" s="6">
        <f>PPMT(2%/12,A3,24,-10000)</f>
        <v>409.41719362983252</v>
      </c>
      <c r="F3" s="6">
        <f t="shared" ref="F3:F25" si="1">IPMT(2%/12,A3,24,-10000)</f>
        <v>15.985440054969775</v>
      </c>
      <c r="G3" s="9">
        <f>(G2 - E3)</f>
        <v>9181.8468393520325</v>
      </c>
    </row>
    <row r="4" spans="1:7" x14ac:dyDescent="0.25">
      <c r="A4">
        <f t="shared" ref="A4:A25" si="2">(A3 + 1)</f>
        <v>3</v>
      </c>
      <c r="B4">
        <v>10000</v>
      </c>
      <c r="C4" s="1">
        <v>0.02</v>
      </c>
      <c r="D4" s="5">
        <f t="shared" si="0"/>
        <v>425.40263368480231</v>
      </c>
      <c r="E4" s="6">
        <f t="shared" ref="E4:E24" si="3">PPMT(2%/12,A4,24,-10000)</f>
        <v>410.09955561921555</v>
      </c>
      <c r="F4" s="6">
        <f t="shared" si="1"/>
        <v>15.303078065586719</v>
      </c>
      <c r="G4" s="9">
        <f t="shared" ref="G4:G25" si="4">(G3 - E4)</f>
        <v>8771.7472837328169</v>
      </c>
    </row>
    <row r="5" spans="1:7" x14ac:dyDescent="0.25">
      <c r="A5">
        <f t="shared" si="2"/>
        <v>4</v>
      </c>
      <c r="B5">
        <v>10000</v>
      </c>
      <c r="C5" s="1">
        <v>0.02</v>
      </c>
      <c r="D5" s="5">
        <f t="shared" si="0"/>
        <v>425.40263368480231</v>
      </c>
      <c r="E5" s="6">
        <f t="shared" si="3"/>
        <v>410.78305487858091</v>
      </c>
      <c r="F5" s="6">
        <f t="shared" si="1"/>
        <v>14.619578806221362</v>
      </c>
      <c r="G5" s="9">
        <f t="shared" si="4"/>
        <v>8360.9642288542364</v>
      </c>
    </row>
    <row r="6" spans="1:7" x14ac:dyDescent="0.25">
      <c r="A6">
        <f t="shared" si="2"/>
        <v>5</v>
      </c>
      <c r="B6">
        <v>10000</v>
      </c>
      <c r="C6" s="1">
        <v>0.02</v>
      </c>
      <c r="D6" s="5">
        <f t="shared" si="0"/>
        <v>425.40263368480231</v>
      </c>
      <c r="E6" s="6">
        <f t="shared" si="3"/>
        <v>411.46769330337861</v>
      </c>
      <c r="F6" s="6">
        <f t="shared" si="1"/>
        <v>13.934940381423726</v>
      </c>
      <c r="G6" s="9">
        <f t="shared" si="4"/>
        <v>7949.4965355508575</v>
      </c>
    </row>
    <row r="7" spans="1:7" x14ac:dyDescent="0.25">
      <c r="A7">
        <f t="shared" si="2"/>
        <v>6</v>
      </c>
      <c r="B7">
        <v>10000</v>
      </c>
      <c r="C7" s="1">
        <v>0.02</v>
      </c>
      <c r="D7" s="5">
        <f t="shared" si="0"/>
        <v>425.40263368480231</v>
      </c>
      <c r="E7" s="6">
        <f t="shared" si="3"/>
        <v>412.15347279221754</v>
      </c>
      <c r="F7" s="6">
        <f t="shared" si="1"/>
        <v>13.249160892584761</v>
      </c>
      <c r="G7" s="9">
        <f t="shared" si="4"/>
        <v>7537.3430627586404</v>
      </c>
    </row>
    <row r="8" spans="1:7" x14ac:dyDescent="0.25">
      <c r="A8">
        <f t="shared" si="2"/>
        <v>7</v>
      </c>
      <c r="B8">
        <v>10000</v>
      </c>
      <c r="C8" s="1">
        <v>0.02</v>
      </c>
      <c r="D8" s="5">
        <f t="shared" si="0"/>
        <v>425.40263368480231</v>
      </c>
      <c r="E8" s="6">
        <f t="shared" si="3"/>
        <v>412.8403952468712</v>
      </c>
      <c r="F8" s="6">
        <f t="shared" si="1"/>
        <v>12.562238437931065</v>
      </c>
      <c r="G8" s="9">
        <f t="shared" si="4"/>
        <v>7124.5026675117688</v>
      </c>
    </row>
    <row r="9" spans="1:7" x14ac:dyDescent="0.25">
      <c r="A9">
        <f t="shared" si="2"/>
        <v>8</v>
      </c>
      <c r="B9">
        <v>10000</v>
      </c>
      <c r="C9" s="1">
        <v>0.02</v>
      </c>
      <c r="D9" s="5">
        <f t="shared" si="0"/>
        <v>425.40263368480231</v>
      </c>
      <c r="E9" s="6">
        <f t="shared" si="3"/>
        <v>413.52846257228271</v>
      </c>
      <c r="F9" s="6">
        <f t="shared" si="1"/>
        <v>11.874171112519614</v>
      </c>
      <c r="G9" s="9">
        <f t="shared" si="4"/>
        <v>6710.9742049394863</v>
      </c>
    </row>
    <row r="10" spans="1:7" x14ac:dyDescent="0.25">
      <c r="A10">
        <f t="shared" si="2"/>
        <v>9</v>
      </c>
      <c r="B10">
        <v>10000</v>
      </c>
      <c r="C10" s="1">
        <v>0.02</v>
      </c>
      <c r="D10" s="5">
        <f t="shared" si="0"/>
        <v>425.40263368480231</v>
      </c>
      <c r="E10" s="6">
        <f t="shared" si="3"/>
        <v>414.21767667656985</v>
      </c>
      <c r="F10" s="6">
        <f t="shared" si="1"/>
        <v>11.184957008232475</v>
      </c>
      <c r="G10" s="9">
        <f t="shared" si="4"/>
        <v>6296.7565282629166</v>
      </c>
    </row>
    <row r="11" spans="1:7" x14ac:dyDescent="0.25">
      <c r="A11">
        <f t="shared" si="2"/>
        <v>10</v>
      </c>
      <c r="B11">
        <v>10000</v>
      </c>
      <c r="C11" s="1">
        <v>0.02</v>
      </c>
      <c r="D11" s="5">
        <f t="shared" si="0"/>
        <v>425.40263368480231</v>
      </c>
      <c r="E11" s="6">
        <f t="shared" si="3"/>
        <v>414.90803947103075</v>
      </c>
      <c r="F11" s="6">
        <f t="shared" si="1"/>
        <v>10.494594213771526</v>
      </c>
      <c r="G11" s="9">
        <f t="shared" si="4"/>
        <v>5881.8484887918858</v>
      </c>
    </row>
    <row r="12" spans="1:7" x14ac:dyDescent="0.25">
      <c r="A12">
        <f t="shared" si="2"/>
        <v>11</v>
      </c>
      <c r="B12">
        <v>10000</v>
      </c>
      <c r="C12" s="1">
        <v>0.02</v>
      </c>
      <c r="D12" s="5">
        <f t="shared" si="0"/>
        <v>425.40263368480231</v>
      </c>
      <c r="E12" s="6">
        <f t="shared" si="3"/>
        <v>415.59955287014913</v>
      </c>
      <c r="F12" s="6">
        <f t="shared" si="1"/>
        <v>9.8030808146531427</v>
      </c>
      <c r="G12" s="9">
        <f t="shared" si="4"/>
        <v>5466.248935921737</v>
      </c>
    </row>
    <row r="13" spans="1:7" x14ac:dyDescent="0.25">
      <c r="A13">
        <f t="shared" si="2"/>
        <v>12</v>
      </c>
      <c r="B13">
        <v>10000</v>
      </c>
      <c r="C13" s="1">
        <v>0.02</v>
      </c>
      <c r="D13" s="5">
        <f t="shared" si="0"/>
        <v>425.40263368480231</v>
      </c>
      <c r="E13" s="6">
        <f t="shared" si="3"/>
        <v>416.2922187915994</v>
      </c>
      <c r="F13" s="6">
        <f t="shared" si="1"/>
        <v>9.1104148932028934</v>
      </c>
      <c r="G13" s="9">
        <f t="shared" si="4"/>
        <v>5049.9567171301378</v>
      </c>
    </row>
    <row r="14" spans="1:7" x14ac:dyDescent="0.25">
      <c r="A14">
        <f t="shared" si="2"/>
        <v>13</v>
      </c>
      <c r="B14">
        <v>10000</v>
      </c>
      <c r="C14" s="1">
        <v>0.02</v>
      </c>
      <c r="D14" s="5">
        <f t="shared" si="0"/>
        <v>425.40263368480231</v>
      </c>
      <c r="E14" s="6">
        <f t="shared" si="3"/>
        <v>416.98603915625205</v>
      </c>
      <c r="F14" s="6">
        <f t="shared" si="1"/>
        <v>8.4165945285502275</v>
      </c>
      <c r="G14" s="9">
        <f t="shared" si="4"/>
        <v>4632.9706779738854</v>
      </c>
    </row>
    <row r="15" spans="1:7" x14ac:dyDescent="0.25">
      <c r="A15">
        <f t="shared" si="2"/>
        <v>14</v>
      </c>
      <c r="B15">
        <v>10000</v>
      </c>
      <c r="C15" s="1">
        <v>0.02</v>
      </c>
      <c r="D15" s="5">
        <f t="shared" si="0"/>
        <v>425.40263368480231</v>
      </c>
      <c r="E15" s="6">
        <f t="shared" si="3"/>
        <v>417.6810158881791</v>
      </c>
      <c r="F15" s="6">
        <f t="shared" si="1"/>
        <v>7.7216177966231383</v>
      </c>
      <c r="G15" s="9">
        <f t="shared" si="4"/>
        <v>4215.2896620857064</v>
      </c>
    </row>
    <row r="16" spans="1:7" x14ac:dyDescent="0.25">
      <c r="A16">
        <f t="shared" si="2"/>
        <v>15</v>
      </c>
      <c r="B16">
        <v>10000</v>
      </c>
      <c r="C16" s="1">
        <v>0.02</v>
      </c>
      <c r="D16" s="5">
        <f t="shared" si="0"/>
        <v>425.40263368480231</v>
      </c>
      <c r="E16" s="6">
        <f t="shared" si="3"/>
        <v>418.37715091465947</v>
      </c>
      <c r="F16" s="6">
        <f t="shared" si="1"/>
        <v>7.0254827701428413</v>
      </c>
      <c r="G16" s="9">
        <f t="shared" si="4"/>
        <v>3796.9125111710468</v>
      </c>
    </row>
    <row r="17" spans="1:7" x14ac:dyDescent="0.25">
      <c r="A17">
        <f t="shared" si="2"/>
        <v>16</v>
      </c>
      <c r="B17">
        <v>10000</v>
      </c>
      <c r="C17" s="1">
        <v>0.02</v>
      </c>
      <c r="D17" s="5">
        <f t="shared" si="0"/>
        <v>425.40263368480231</v>
      </c>
      <c r="E17" s="6">
        <f t="shared" si="3"/>
        <v>419.07444616618392</v>
      </c>
      <c r="F17" s="6">
        <f t="shared" si="1"/>
        <v>6.3281875186184084</v>
      </c>
      <c r="G17" s="9">
        <f t="shared" si="4"/>
        <v>3377.838065004863</v>
      </c>
    </row>
    <row r="18" spans="1:7" x14ac:dyDescent="0.25">
      <c r="A18">
        <f t="shared" si="2"/>
        <v>17</v>
      </c>
      <c r="B18">
        <v>10000</v>
      </c>
      <c r="C18" s="1">
        <v>0.02</v>
      </c>
      <c r="D18" s="5">
        <f t="shared" si="0"/>
        <v>425.40263368480231</v>
      </c>
      <c r="E18" s="6">
        <f t="shared" si="3"/>
        <v>419.77290357646086</v>
      </c>
      <c r="F18" s="6">
        <f t="shared" si="1"/>
        <v>5.6297301083414357</v>
      </c>
      <c r="G18" s="9">
        <f t="shared" si="4"/>
        <v>2958.065161428402</v>
      </c>
    </row>
    <row r="19" spans="1:7" x14ac:dyDescent="0.25">
      <c r="A19">
        <f t="shared" si="2"/>
        <v>18</v>
      </c>
      <c r="B19">
        <v>10000</v>
      </c>
      <c r="C19" s="1">
        <v>0.02</v>
      </c>
      <c r="D19" s="5">
        <f t="shared" si="0"/>
        <v>425.40263368480231</v>
      </c>
      <c r="E19" s="6">
        <f t="shared" si="3"/>
        <v>420.47252508242161</v>
      </c>
      <c r="F19" s="6">
        <f t="shared" si="1"/>
        <v>4.9301086023806677</v>
      </c>
      <c r="G19" s="9">
        <f t="shared" si="4"/>
        <v>2537.5926363459803</v>
      </c>
    </row>
    <row r="20" spans="1:7" x14ac:dyDescent="0.25">
      <c r="A20">
        <f t="shared" si="2"/>
        <v>19</v>
      </c>
      <c r="B20">
        <v>10000</v>
      </c>
      <c r="C20" s="1">
        <v>0.02</v>
      </c>
      <c r="D20" s="5">
        <f t="shared" si="0"/>
        <v>425.40263368480231</v>
      </c>
      <c r="E20" s="6">
        <f t="shared" si="3"/>
        <v>421.17331262422567</v>
      </c>
      <c r="F20" s="6">
        <f t="shared" si="1"/>
        <v>4.2293210605766314</v>
      </c>
      <c r="G20" s="9">
        <f t="shared" si="4"/>
        <v>2116.4193237217546</v>
      </c>
    </row>
    <row r="21" spans="1:7" x14ac:dyDescent="0.25">
      <c r="A21">
        <f t="shared" si="2"/>
        <v>20</v>
      </c>
      <c r="B21">
        <v>10000</v>
      </c>
      <c r="C21" s="1">
        <v>0.02</v>
      </c>
      <c r="D21" s="5">
        <f t="shared" si="0"/>
        <v>425.40263368480231</v>
      </c>
      <c r="E21" s="6">
        <f t="shared" si="3"/>
        <v>421.87526814526603</v>
      </c>
      <c r="F21" s="6">
        <f t="shared" si="1"/>
        <v>3.5273655395362549</v>
      </c>
      <c r="G21" s="9">
        <f t="shared" si="4"/>
        <v>1694.5440555764885</v>
      </c>
    </row>
    <row r="22" spans="1:7" x14ac:dyDescent="0.25">
      <c r="A22">
        <f t="shared" si="2"/>
        <v>21</v>
      </c>
      <c r="B22">
        <v>10000</v>
      </c>
      <c r="C22" s="1">
        <v>0.02</v>
      </c>
      <c r="D22" s="5">
        <f t="shared" si="0"/>
        <v>425.40263368480231</v>
      </c>
      <c r="E22" s="6">
        <f t="shared" si="3"/>
        <v>422.57839359217479</v>
      </c>
      <c r="F22" s="6">
        <f t="shared" si="1"/>
        <v>2.8242400926274782</v>
      </c>
      <c r="G22" s="9">
        <f t="shared" si="4"/>
        <v>1271.9656619843138</v>
      </c>
    </row>
    <row r="23" spans="1:7" x14ac:dyDescent="0.25">
      <c r="A23">
        <f t="shared" si="2"/>
        <v>22</v>
      </c>
      <c r="B23">
        <v>10000</v>
      </c>
      <c r="C23" s="1">
        <v>0.02</v>
      </c>
      <c r="D23" s="5">
        <f t="shared" si="0"/>
        <v>425.40263368480231</v>
      </c>
      <c r="E23" s="6">
        <f t="shared" si="3"/>
        <v>423.28269091482844</v>
      </c>
      <c r="F23" s="6">
        <f t="shared" si="1"/>
        <v>2.119942769973854</v>
      </c>
      <c r="G23" s="9">
        <f t="shared" si="4"/>
        <v>848.68297106948535</v>
      </c>
    </row>
    <row r="24" spans="1:7" x14ac:dyDescent="0.25">
      <c r="A24">
        <f t="shared" si="2"/>
        <v>23</v>
      </c>
      <c r="B24">
        <v>10000</v>
      </c>
      <c r="C24" s="1">
        <v>0.02</v>
      </c>
      <c r="D24" s="7">
        <f t="shared" si="0"/>
        <v>425.40263368480231</v>
      </c>
      <c r="E24" s="8">
        <f t="shared" si="3"/>
        <v>423.98816206635314</v>
      </c>
      <c r="F24" s="8">
        <f t="shared" si="1"/>
        <v>1.4144716184491395</v>
      </c>
      <c r="G24" s="10">
        <f t="shared" si="4"/>
        <v>424.69480900313221</v>
      </c>
    </row>
    <row r="25" spans="1:7" x14ac:dyDescent="0.25">
      <c r="A25">
        <f t="shared" si="2"/>
        <v>24</v>
      </c>
      <c r="B25">
        <v>10000</v>
      </c>
      <c r="C25" s="1">
        <v>0.02</v>
      </c>
      <c r="D25" s="11">
        <f>PMT(2%/12,24,-10000)</f>
        <v>425.40263368480231</v>
      </c>
      <c r="E25" s="4">
        <f>PPMT(2%/12,A25,24,-10000)</f>
        <v>424.69480900313044</v>
      </c>
      <c r="F25" s="4">
        <f t="shared" si="1"/>
        <v>0.70782468167188417</v>
      </c>
      <c r="G25" s="12">
        <f t="shared" si="4"/>
        <v>1.7621459846850485E-12</v>
      </c>
    </row>
    <row r="26" spans="1:7" x14ac:dyDescent="0.25">
      <c r="D26" s="3">
        <f>SUM(D2:D25)</f>
        <v>10209.66320843525</v>
      </c>
      <c r="E26" s="3">
        <f>SUM(E2:E25)</f>
        <v>9999.9999999999982</v>
      </c>
      <c r="F26" s="3">
        <f>SUM(F2:F25)</f>
        <v>209.66320843525577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Node6</dc:creator>
  <cp:lastModifiedBy>Node6</cp:lastModifiedBy>
  <dcterms:created xsi:type="dcterms:W3CDTF">2025-10-15T04:39:17Z</dcterms:created>
  <dcterms:modified xsi:type="dcterms:W3CDTF">2025-10-22T06:22:23Z</dcterms:modified>
</cp:coreProperties>
</file>